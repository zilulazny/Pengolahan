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autoCompressPictures="0" defaultThemeVersion="166925"/>
  <mc:AlternateContent xmlns:mc="http://schemas.openxmlformats.org/markup-compatibility/2006">
    <mc:Choice Requires="x15">
      <x15ac:absPath xmlns:x15ac="http://schemas.microsoft.com/office/spreadsheetml/2010/11/ac" url="D:\Seismioto\Pengolahan\"/>
    </mc:Choice>
  </mc:AlternateContent>
  <xr:revisionPtr revIDLastSave="0" documentId="13_ncr:1_{A6EA5607-5A0C-45DD-A1E1-B59F3B297C21}" xr6:coauthVersionLast="47" xr6:coauthVersionMax="47" xr10:uidLastSave="{00000000-0000-0000-0000-000000000000}"/>
  <bookViews>
    <workbookView xWindow="-108" yWindow="-108" windowWidth="23256" windowHeight="12456" tabRatio="500" xr2:uid="{00000000-000D-0000-FFFF-FFFF00000000}"/>
  </bookViews>
  <sheets>
    <sheet name="Sheet2" sheetId="2" r:id="rId1"/>
  </sheets>
  <definedNames>
    <definedName name="_xlnm._FilterDatabase" localSheetId="0" hidden="1">Sheet2!$A$1:$J$1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D4" i="2"/>
  <c r="D5" i="2"/>
  <c r="D6" i="2"/>
  <c r="D2" i="2"/>
  <c r="C3" i="2"/>
  <c r="C4" i="2"/>
  <c r="C5" i="2"/>
  <c r="C6" i="2"/>
  <c r="C2" i="2"/>
</calcChain>
</file>

<file path=xl/sharedStrings.xml><?xml version="1.0" encoding="utf-8"?>
<sst xmlns="http://schemas.openxmlformats.org/spreadsheetml/2006/main" count="20" uniqueCount="19">
  <si>
    <t>Tanggal</t>
  </si>
  <si>
    <t>Waktu (WIB)</t>
  </si>
  <si>
    <t>Lintang</t>
  </si>
  <si>
    <t>Bujur</t>
  </si>
  <si>
    <t>Kedalaman</t>
  </si>
  <si>
    <t>Magnitude</t>
  </si>
  <si>
    <t>Keterangan</t>
  </si>
  <si>
    <t>Dirasakan</t>
  </si>
  <si>
    <t>63 km Tenggara Kuta Selatan-Bali</t>
  </si>
  <si>
    <t>dirasakan di wilayah Kota Denpasar, Kab. Badung, Kab. Lombok Tengah, Kab. Lombok Barat, Kota Mataram III MMI, Kab. Tabanan, Kab. Gianyar, Kab. Lombok Timur, Kab. Sumbawa, Kab. Sumbawa Barat II MMI</t>
  </si>
  <si>
    <t>23 km Tenggara Karangasem-Bali</t>
  </si>
  <si>
    <t>dirasakan di wilayah Karangasem II - III MMI</t>
  </si>
  <si>
    <t>dirasakan di wilayah Karangasem II MMI</t>
  </si>
  <si>
    <t>21 km Barat Kabupaten Sumbawa-NTB</t>
  </si>
  <si>
    <t>dirasakan di wilayah Kab. Sumbawa II MMI</t>
  </si>
  <si>
    <t>103 km BaratDaya Dompu-NTB</t>
  </si>
  <si>
    <t>dirasakan di wiliayah Sumbawa dan Bima III MMI</t>
  </si>
  <si>
    <t>Datetime (WIB)</t>
  </si>
  <si>
    <t>Datetime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</si>
</sst>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d/mm/yyyy\ hh:mm:ss"/>
  </numFmts>
  <fonts count="3" x14ac:knownFonts="1">
    <font>
      <sz val="11"/>
      <name val="Calibri"/>
    </font>
    <font>
      <sz val="8"/>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0" borderId="0" xfId="0" applyBorder="1"/>
    <xf numFmtId="14" fontId="0" fillId="0" borderId="0" xfId="0" applyNumberFormat="1" applyBorder="1"/>
    <xf numFmtId="14" fontId="0" fillId="0" borderId="0" xfId="0" applyNumberFormat="1"/>
    <xf numFmtId="164" fontId="0" fillId="0" borderId="0" xfId="0" applyNumberFormat="1" applyBorder="1"/>
    <xf numFmtId="164" fontId="0" fillId="0" borderId="0" xfId="0" applyNumberFormat="1"/>
    <xf numFmtId="0" fontId="2" fillId="0" borderId="0" xfId="0" applyFont="1" applyBorder="1"/>
    <xf numFmtId="0" fontId="0" fillId="0" borderId="0" xfId="0" applyFill="1" applyBorder="1"/>
    <xf numFmtId="0" fontId="2" fillId="0" borderId="0" xfId="0" applyFont="1" applyFill="1" applyBorder="1"/>
    <xf numFmtId="165" fontId="0" fillId="0" borderId="0" xfId="0" applyNumberFormat="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08B2-1387-4C99-A9BB-7378259DE79F}">
  <dimension ref="A1:J6"/>
  <sheetViews>
    <sheetView tabSelected="1" zoomScale="66" workbookViewId="0">
      <selection activeCell="D2" sqref="D2"/>
    </sheetView>
  </sheetViews>
  <sheetFormatPr defaultRowHeight="14.4" x14ac:dyDescent="0.3"/>
  <cols>
    <col min="1" max="1" width="10.6640625" style="4" bestFit="1" customWidth="1"/>
    <col min="2" max="2" width="13.5546875" style="6" bestFit="1" customWidth="1"/>
    <col min="3" max="3" width="18.77734375" style="6" bestFit="1" customWidth="1"/>
    <col min="4" max="4" width="18.77734375" style="6" customWidth="1"/>
    <col min="5" max="5" width="9" bestFit="1" customWidth="1"/>
    <col min="6" max="6" width="7" bestFit="1" customWidth="1"/>
    <col min="7" max="7" width="17.44140625" bestFit="1" customWidth="1"/>
    <col min="8" max="8" width="12.33203125" bestFit="1" customWidth="1"/>
    <col min="9" max="9" width="36.5546875" style="1" bestFit="1" customWidth="1"/>
    <col min="10" max="10" width="159" style="1" bestFit="1" customWidth="1"/>
  </cols>
  <sheetData>
    <row r="1" spans="1:10" x14ac:dyDescent="0.3">
      <c r="A1" s="3" t="s">
        <v>0</v>
      </c>
      <c r="B1" s="5" t="s">
        <v>1</v>
      </c>
      <c r="C1" s="5" t="s">
        <v>17</v>
      </c>
      <c r="D1" s="5" t="s">
        <v>18</v>
      </c>
      <c r="E1" s="2" t="s">
        <v>2</v>
      </c>
      <c r="F1" s="2" t="s">
        <v>3</v>
      </c>
      <c r="G1" s="2" t="s">
        <v>4</v>
      </c>
      <c r="H1" s="2" t="s">
        <v>5</v>
      </c>
      <c r="I1" s="2" t="s">
        <v>6</v>
      </c>
      <c r="J1" s="2" t="s">
        <v>7</v>
      </c>
    </row>
    <row r="2" spans="1:10" x14ac:dyDescent="0.3">
      <c r="A2" s="3">
        <v>46082</v>
      </c>
      <c r="B2" s="5">
        <v>0.4533564814814815</v>
      </c>
      <c r="C2" s="10">
        <f>A2+B2</f>
        <v>46082.453356481485</v>
      </c>
      <c r="D2" s="10">
        <f>C2-(7/24)</f>
        <v>46082.16168981482</v>
      </c>
      <c r="E2" s="2">
        <v>-9.27</v>
      </c>
      <c r="F2" s="2">
        <v>115.53</v>
      </c>
      <c r="G2" s="2">
        <v>75</v>
      </c>
      <c r="H2" s="2">
        <v>4.7</v>
      </c>
      <c r="I2" s="7" t="s">
        <v>8</v>
      </c>
      <c r="J2" s="7" t="s">
        <v>9</v>
      </c>
    </row>
    <row r="3" spans="1:10" x14ac:dyDescent="0.3">
      <c r="A3" s="3">
        <v>46092</v>
      </c>
      <c r="B3" s="5">
        <v>0.33109953703703704</v>
      </c>
      <c r="C3" s="10">
        <f t="shared" ref="C3:C6" si="0">A3+B3</f>
        <v>46092.331099537034</v>
      </c>
      <c r="D3" s="10">
        <f t="shared" ref="D3:D6" si="1">C3-(7/24)</f>
        <v>46092.03943287037</v>
      </c>
      <c r="E3" s="2">
        <v>-8.5299999999999994</v>
      </c>
      <c r="F3" s="2">
        <v>117.24</v>
      </c>
      <c r="G3" s="2">
        <v>10</v>
      </c>
      <c r="H3" s="8">
        <v>3.5</v>
      </c>
      <c r="I3" s="7" t="s">
        <v>13</v>
      </c>
      <c r="J3" s="7" t="s">
        <v>14</v>
      </c>
    </row>
    <row r="4" spans="1:10" x14ac:dyDescent="0.3">
      <c r="A4" s="3">
        <v>46097</v>
      </c>
      <c r="B4" s="5">
        <v>0.77915509259259264</v>
      </c>
      <c r="C4" s="10">
        <f t="shared" si="0"/>
        <v>46097.77915509259</v>
      </c>
      <c r="D4" s="10">
        <f t="shared" si="1"/>
        <v>46097.487488425926</v>
      </c>
      <c r="E4" s="2">
        <v>-9.42</v>
      </c>
      <c r="F4" s="2">
        <v>118.18</v>
      </c>
      <c r="G4" s="2">
        <v>28</v>
      </c>
      <c r="H4" s="8">
        <v>4.9000000000000004</v>
      </c>
      <c r="I4" s="9" t="s">
        <v>15</v>
      </c>
      <c r="J4" s="9" t="s">
        <v>16</v>
      </c>
    </row>
    <row r="5" spans="1:10" x14ac:dyDescent="0.3">
      <c r="A5" s="3">
        <v>46104</v>
      </c>
      <c r="B5" s="5">
        <v>0.47204861111111113</v>
      </c>
      <c r="C5" s="10">
        <f t="shared" si="0"/>
        <v>46104.472048611111</v>
      </c>
      <c r="D5" s="10">
        <f t="shared" si="1"/>
        <v>46104.180381944447</v>
      </c>
      <c r="E5" s="2">
        <v>-8.4700000000000006</v>
      </c>
      <c r="F5" s="2">
        <v>115.69</v>
      </c>
      <c r="G5" s="2">
        <v>12</v>
      </c>
      <c r="H5" s="2">
        <v>2.7</v>
      </c>
      <c r="I5" s="2" t="s">
        <v>10</v>
      </c>
      <c r="J5" s="2" t="s">
        <v>11</v>
      </c>
    </row>
    <row r="6" spans="1:10" x14ac:dyDescent="0.3">
      <c r="A6" s="3">
        <v>46107</v>
      </c>
      <c r="B6" s="5">
        <v>0.59361111111111109</v>
      </c>
      <c r="C6" s="10">
        <f t="shared" si="0"/>
        <v>46107.593611111108</v>
      </c>
      <c r="D6" s="10">
        <f t="shared" si="1"/>
        <v>46107.301944444444</v>
      </c>
      <c r="E6" s="2">
        <v>-8.4700000000000006</v>
      </c>
      <c r="F6" s="2">
        <v>115.69</v>
      </c>
      <c r="G6" s="2">
        <v>14</v>
      </c>
      <c r="H6" s="2">
        <v>2.8</v>
      </c>
      <c r="I6" s="2" t="s">
        <v>10</v>
      </c>
      <c r="J6" s="2" t="s">
        <v>12</v>
      </c>
    </row>
  </sheetData>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Azany Harits</cp:lastModifiedBy>
  <dcterms:modified xsi:type="dcterms:W3CDTF">2026-04-01T14:15:34Z</dcterms:modified>
</cp:coreProperties>
</file>